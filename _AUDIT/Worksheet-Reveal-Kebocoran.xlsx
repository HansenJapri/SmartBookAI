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Input Transaksi" sheetId="2" state="visible" r:id="rId4"/>
    <sheet name="Reveal — Ringkas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<sst xmlns="http://schemas.openxmlformats.org/spreadsheetml/2006/main" count="86" uniqueCount="69">
  <si>
    <t xml:space="preserve">WORKSHEET 'REVEAL KEBOCORAN' — BukuPintar AI</t>
  </si>
  <si>
    <t xml:space="preserve">Alat bantu concierge: kerjakan pembukuan 1 bulan seorang seller secara manual,</t>
  </si>
  <si>
    <t xml:space="preserve">lalu tunjukkan KE MANA UANGNYA PERGI. Pakai ini saat membantu pilot (lihat Kit Concierge).</t>
  </si>
  <si>
    <t xml:space="preserve">CARA PAKAI (2 langkah):</t>
  </si>
  <si>
    <t xml:space="preserve">  1) Buka sheet 'Input Transaksi'. Ketik transaksi seller di sel BIRU.</t>
  </si>
  <si>
    <t xml:space="preserve">     - Untuk PENJUALAN (Masuk): isi Nilai Kotor + rincian potongan (admin, ongkir, iklan).</t>
  </si>
  <si>
    <t xml:space="preserve">     - Untuk PENGELUARAN (Keluar): isi Nilai Kotor saja (kolom potongan biarkan kosong/0).</t>
  </si>
  <si>
    <t xml:space="preserve">     - Kolom 'Bersih Diterima' terisi OTOMATIS — jangan diketik.</t>
  </si>
  <si>
    <t xml:space="preserve">  2) Buka sheet 'Reveal — Ringkasan'. Semua angka &amp; kalimat insight terisi OTOMATIS.</t>
  </si>
  <si>
    <t xml:space="preserve">     Baca, lalu salin 'Kalimat Insight' untuk dikirim ke seller via WhatsApp.</t>
  </si>
  <si>
    <t xml:space="preserve">ARTI WARNA:</t>
  </si>
  <si>
    <t xml:space="preserve">  • Teks BIRU  = tempat Anda mengetik (input).</t>
  </si>
  <si>
    <t xml:space="preserve">  • Teks HITAM = hasil hitungan (jangan diubah).</t>
  </si>
  <si>
    <t xml:space="preserve">  • Teks HIJAU = angka yang ditarik dari sheet lain (jangan diubah).</t>
  </si>
  <si>
    <t xml:space="preserve">CATATAN: Sudah ada BARIS CONTOH di 'Input Transaksi'. Hapus &amp; ganti dengan data nyata.</t>
  </si>
  <si>
    <t xml:space="preserve">Tersedia 100 baris. Tambah baris bila perlu (salin format baris di atasnya).</t>
  </si>
  <si>
    <t xml:space="preserve">Tanggal</t>
  </si>
  <si>
    <t xml:space="preserve">Channel</t>
  </si>
  <si>
    <t xml:space="preserve">Jenis</t>
  </si>
  <si>
    <t xml:space="preserve">Kategori</t>
  </si>
  <si>
    <t xml:space="preserve">Nilai Kotor (Rp)</t>
  </si>
  <si>
    <t xml:space="preserve">Biaya Admin/Komisi (Rp)</t>
  </si>
  <si>
    <t xml:space="preserve">Ongkir Ditanggung (Rp)</t>
  </si>
  <si>
    <t xml:space="preserve">Biaya Iklan/Promo (Rp)</t>
  </si>
  <si>
    <t xml:space="preserve">Potongan Lain (Rp)</t>
  </si>
  <si>
    <t xml:space="preserve">Bersih Diterima (Rp)</t>
  </si>
  <si>
    <t xml:space="preserve">Shopee</t>
  </si>
  <si>
    <t xml:space="preserve">Masuk</t>
  </si>
  <si>
    <t xml:space="preserve">Penjualan Marketplace</t>
  </si>
  <si>
    <t xml:space="preserve">Tokopedia</t>
  </si>
  <si>
    <t xml:space="preserve">TikTok Shop</t>
  </si>
  <si>
    <t xml:space="preserve">QRIS</t>
  </si>
  <si>
    <t xml:space="preserve">Penjualan QRIS</t>
  </si>
  <si>
    <t xml:space="preserve">Cash/Tunai</t>
  </si>
  <si>
    <t xml:space="preserve">Penjualan</t>
  </si>
  <si>
    <t xml:space="preserve">Bank/Transfer</t>
  </si>
  <si>
    <t xml:space="preserve">Keluar</t>
  </si>
  <si>
    <t xml:space="preserve">Pembelian Stok</t>
  </si>
  <si>
    <t xml:space="preserve">Operasional Listrik</t>
  </si>
  <si>
    <t xml:space="preserve">Gaji Karyawan</t>
  </si>
  <si>
    <t xml:space="preserve">↑ Baris 2–9 = CONTOH. Hapus &amp; ganti dengan data nyata seller. Sel biru = ketik di sini.</t>
  </si>
  <si>
    <t xml:space="preserve">REVEAL — KE MANA UANG SELLER PERGI?</t>
  </si>
  <si>
    <t xml:space="preserve">Terisi otomatis dari sheet 'Input Transaksi'. Tinggal baca &amp; kirim.</t>
  </si>
  <si>
    <t xml:space="preserve">RINGKASAN UTAMA</t>
  </si>
  <si>
    <t xml:space="preserve">Omzet Kotor (semua penjualan)</t>
  </si>
  <si>
    <t xml:space="preserve">   − Biaya Admin/Komisi</t>
  </si>
  <si>
    <t xml:space="preserve">   − Ongkir Ditanggung Penjual</t>
  </si>
  <si>
    <t xml:space="preserve">   − Biaya Iklan/Promo</t>
  </si>
  <si>
    <t xml:space="preserve">   − Potongan Lain</t>
  </si>
  <si>
    <t xml:space="preserve">TOTAL KEBOCORAN (potongan channel)</t>
  </si>
  <si>
    <t xml:space="preserve">Penerimaan Bersih dari Penjualan</t>
  </si>
  <si>
    <t xml:space="preserve">Pengeluaran Operasional</t>
  </si>
  <si>
    <t xml:space="preserve">LABA BERSIH (ASLI)</t>
  </si>
  <si>
    <t xml:space="preserve">Laba yang DIKIRA (kalau fee diabaikan)</t>
  </si>
  <si>
    <t xml:space="preserve">Uang yang 'hilang' tanpa sadar</t>
  </si>
  <si>
    <t xml:space="preserve">Margin ASLI</t>
  </si>
  <si>
    <t xml:space="preserve">Margin yang DIKIRA</t>
  </si>
  <si>
    <t xml:space="preserve">Selisih margin (poin %)</t>
  </si>
  <si>
    <t xml:space="preserve">KEBOCORAN PER CHANNEL</t>
  </si>
  <si>
    <t xml:space="preserve">Omzet Kotor</t>
  </si>
  <si>
    <t xml:space="preserve">Potongan</t>
  </si>
  <si>
    <t xml:space="preserve">Bersih</t>
  </si>
  <si>
    <t xml:space="preserve">% Potongan</t>
  </si>
  <si>
    <t xml:space="preserve">GoPay</t>
  </si>
  <si>
    <t xml:space="preserve">OVO</t>
  </si>
  <si>
    <t xml:space="preserve">DANA</t>
  </si>
  <si>
    <t xml:space="preserve">Lainnya</t>
  </si>
  <si>
    <t xml:space="preserve">TOTAL</t>
  </si>
  <si>
    <t xml:space="preserve">KALIMAT INSIGHT (siap tempel ke WhatsApp seller):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</si>
</sst>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&quot;Rp &quot;#,##0;&quot;(Rp &quot;#,##0\);\-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F46E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4F46E5"/>
      <name val="Arial"/>
      <family val="0"/>
      <charset val="1"/>
    </font>
    <font>
      <sz val="11"/>
      <color rgb="FF11182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E5E7EB"/>
        <bgColor rgb="FFE6F4EA"/>
      </patternFill>
    </fill>
    <fill>
      <patternFill patternType="solid">
        <fgColor rgb="FFFDE2E1"/>
        <bgColor rgb="FFE5E7EB"/>
      </patternFill>
    </fill>
    <fill>
      <patternFill patternType="solid">
        <fgColor rgb="FFE6F4EA"/>
        <bgColor rgb="FFE5E7EB"/>
      </patternFill>
    </fill>
    <fill>
      <patternFill patternType="solid">
        <fgColor rgb="FFFFF7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D"/>
      <rgbColor rgb="FFE6F4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DE2E1"/>
      <rgbColor rgb="FF4F46E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8" min="6" style="0" width="18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3.75" hidden="false" customHeight="tru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customFormat="false" ht="15" hidden="false" customHeight="false" outlineLevel="0" collapsed="false">
      <c r="A2" s="4" t="n">
        <v>46145</v>
      </c>
      <c r="B2" s="5" t="s">
        <v>26</v>
      </c>
      <c r="C2" s="5" t="s">
        <v>27</v>
      </c>
      <c r="D2" s="5" t="s">
        <v>28</v>
      </c>
      <c r="E2" s="6" t="n">
        <v>5000000</v>
      </c>
      <c r="F2" s="6" t="n">
        <v>350000</v>
      </c>
      <c r="G2" s="6" t="n">
        <v>150000</v>
      </c>
      <c r="H2" s="6" t="n">
        <v>200000</v>
      </c>
      <c r="I2" s="6" t="n">
        <v>0</v>
      </c>
      <c r="J2" s="7" t="n">
        <f aca="false">IF(E2="","",IF(C2="Masuk",E2-SUM(F2:I2),-E2))</f>
        <v>4300000</v>
      </c>
    </row>
    <row r="3" customFormat="false" ht="15" hidden="false" customHeight="false" outlineLevel="0" collapsed="false">
      <c r="A3" s="4" t="n">
        <v>46149</v>
      </c>
      <c r="B3" s="5" t="s">
        <v>29</v>
      </c>
      <c r="C3" s="5" t="s">
        <v>27</v>
      </c>
      <c r="D3" s="5" t="s">
        <v>28</v>
      </c>
      <c r="E3" s="6" t="n">
        <v>3200000</v>
      </c>
      <c r="F3" s="6" t="n">
        <v>224000</v>
      </c>
      <c r="G3" s="6" t="n">
        <v>100000</v>
      </c>
      <c r="H3" s="6" t="n">
        <v>120000</v>
      </c>
      <c r="I3" s="6" t="n">
        <v>0</v>
      </c>
      <c r="J3" s="7" t="n">
        <f aca="false">IF(E3="","",IF(C3="Masuk",E3-SUM(F3:I3),-E3))</f>
        <v>2756000</v>
      </c>
    </row>
    <row r="4" customFormat="false" ht="15" hidden="false" customHeight="false" outlineLevel="0" collapsed="false">
      <c r="A4" s="4" t="n">
        <v>46152</v>
      </c>
      <c r="B4" s="5" t="s">
        <v>30</v>
      </c>
      <c r="C4" s="5" t="s">
        <v>27</v>
      </c>
      <c r="D4" s="5" t="s">
        <v>28</v>
      </c>
      <c r="E4" s="6" t="n">
        <v>2800000</v>
      </c>
      <c r="F4" s="6" t="n">
        <v>252000</v>
      </c>
      <c r="G4" s="6" t="n">
        <v>80000</v>
      </c>
      <c r="H4" s="6" t="n">
        <v>300000</v>
      </c>
      <c r="I4" s="6" t="n">
        <v>0</v>
      </c>
      <c r="J4" s="7" t="n">
        <f aca="false">IF(E4="","",IF(C4="Masuk",E4-SUM(F4:I4),-E4))</f>
        <v>2168000</v>
      </c>
    </row>
    <row r="5" customFormat="false" ht="15" hidden="false" customHeight="false" outlineLevel="0" collapsed="false">
      <c r="A5" s="4" t="n">
        <v>46154</v>
      </c>
      <c r="B5" s="5" t="s">
        <v>31</v>
      </c>
      <c r="C5" s="5" t="s">
        <v>27</v>
      </c>
      <c r="D5" s="5" t="s">
        <v>32</v>
      </c>
      <c r="E5" s="6" t="n">
        <v>1500000</v>
      </c>
      <c r="F5" s="6" t="n">
        <v>10500</v>
      </c>
      <c r="G5" s="6" t="n">
        <v>0</v>
      </c>
      <c r="H5" s="6" t="n">
        <v>0</v>
      </c>
      <c r="I5" s="6" t="n">
        <v>0</v>
      </c>
      <c r="J5" s="7" t="n">
        <f aca="false">IF(E5="","",IF(C5="Masuk",E5-SUM(F5:I5),-E5))</f>
        <v>1489500</v>
      </c>
    </row>
    <row r="6" customFormat="false" ht="15" hidden="false" customHeight="false" outlineLevel="0" collapsed="false">
      <c r="A6" s="4" t="n">
        <v>46157</v>
      </c>
      <c r="B6" s="5" t="s">
        <v>33</v>
      </c>
      <c r="C6" s="5" t="s">
        <v>27</v>
      </c>
      <c r="D6" s="5" t="s">
        <v>34</v>
      </c>
      <c r="E6" s="6" t="n">
        <v>900000</v>
      </c>
      <c r="F6" s="6" t="n">
        <v>0</v>
      </c>
      <c r="G6" s="6" t="n">
        <v>0</v>
      </c>
      <c r="H6" s="6" t="n">
        <v>0</v>
      </c>
      <c r="I6" s="6" t="n">
        <v>0</v>
      </c>
      <c r="J6" s="7" t="n">
        <f aca="false">IF(E6="","",IF(C6="Masuk",E6-SUM(F6:I6),-E6))</f>
        <v>900000</v>
      </c>
    </row>
    <row r="7" customFormat="false" ht="15" hidden="false" customHeight="false" outlineLevel="0" collapsed="false">
      <c r="A7" s="4" t="n">
        <v>46146</v>
      </c>
      <c r="B7" s="5" t="s">
        <v>35</v>
      </c>
      <c r="C7" s="5" t="s">
        <v>36</v>
      </c>
      <c r="D7" s="5" t="s">
        <v>37</v>
      </c>
      <c r="E7" s="6" t="n">
        <v>4000000</v>
      </c>
      <c r="F7" s="6" t="n">
        <v>0</v>
      </c>
      <c r="G7" s="6" t="n">
        <v>0</v>
      </c>
      <c r="H7" s="6" t="n">
        <v>0</v>
      </c>
      <c r="I7" s="6" t="n">
        <v>0</v>
      </c>
      <c r="J7" s="7" t="n">
        <f aca="false">IF(E7="","",IF(C7="Masuk",E7-SUM(F7:I7),-E7))</f>
        <v>-4000000</v>
      </c>
    </row>
    <row r="8" customFormat="false" ht="15" hidden="false" customHeight="false" outlineLevel="0" collapsed="false">
      <c r="A8" s="4" t="n">
        <v>46150</v>
      </c>
      <c r="B8" s="5" t="s">
        <v>33</v>
      </c>
      <c r="C8" s="5" t="s">
        <v>36</v>
      </c>
      <c r="D8" s="5" t="s">
        <v>38</v>
      </c>
      <c r="E8" s="6" t="n">
        <v>250000</v>
      </c>
      <c r="F8" s="6" t="n">
        <v>0</v>
      </c>
      <c r="G8" s="6" t="n">
        <v>0</v>
      </c>
      <c r="H8" s="6" t="n">
        <v>0</v>
      </c>
      <c r="I8" s="6" t="n">
        <v>0</v>
      </c>
      <c r="J8" s="7" t="n">
        <f aca="false">IF(E8="","",IF(C8="Masuk",E8-SUM(F8:I8),-E8))</f>
        <v>-250000</v>
      </c>
    </row>
    <row r="9" customFormat="false" ht="15" hidden="false" customHeight="false" outlineLevel="0" collapsed="false">
      <c r="A9" s="4" t="n">
        <v>46162</v>
      </c>
      <c r="B9" s="5" t="s">
        <v>35</v>
      </c>
      <c r="C9" s="5" t="s">
        <v>36</v>
      </c>
      <c r="D9" s="5" t="s">
        <v>39</v>
      </c>
      <c r="E9" s="6" t="n">
        <v>1500000</v>
      </c>
      <c r="F9" s="6" t="n">
        <v>0</v>
      </c>
      <c r="G9" s="6" t="n">
        <v>0</v>
      </c>
      <c r="H9" s="6" t="n">
        <v>0</v>
      </c>
      <c r="I9" s="6" t="n">
        <v>0</v>
      </c>
      <c r="J9" s="7" t="n">
        <f aca="false">IF(E9="","",IF(C9="Masuk",E9-SUM(F9:I9),-E9))</f>
        <v>-1500000</v>
      </c>
    </row>
    <row r="10" customFormat="false" ht="15" hidden="false" customHeight="false" outlineLevel="0" collapsed="false">
      <c r="A10" s="4"/>
      <c r="B10" s="5"/>
      <c r="C10" s="5"/>
      <c r="D10" s="5"/>
      <c r="E10" s="6"/>
      <c r="F10" s="6"/>
      <c r="G10" s="6"/>
      <c r="H10" s="6"/>
      <c r="I10" s="6"/>
      <c r="J10" s="7" t="str">
        <f aca="false">IF(E10="","",IF(C10="Masuk",E10-SUM(F10:I10),-E10))</f>
        <v/>
      </c>
    </row>
    <row r="11" customFormat="false" ht="15" hidden="false" customHeight="false" outlineLevel="0" collapsed="false">
      <c r="A11" s="4"/>
      <c r="B11" s="5"/>
      <c r="C11" s="5"/>
      <c r="D11" s="5"/>
      <c r="E11" s="6"/>
      <c r="F11" s="6"/>
      <c r="G11" s="6"/>
      <c r="H11" s="6"/>
      <c r="I11" s="6"/>
      <c r="J11" s="7" t="str">
        <f aca="false">IF(E11="","",IF(C11="Masuk",E11-SUM(F11:I11),-E11))</f>
        <v/>
      </c>
    </row>
    <row r="12" customFormat="false" ht="15" hidden="false" customHeight="false" outlineLevel="0" collapsed="false">
      <c r="A12" s="4"/>
      <c r="B12" s="5"/>
      <c r="C12" s="5"/>
      <c r="D12" s="5"/>
      <c r="E12" s="6"/>
      <c r="F12" s="6"/>
      <c r="G12" s="6"/>
      <c r="H12" s="6"/>
      <c r="I12" s="6"/>
      <c r="J12" s="7" t="str">
        <f aca="false">IF(E12="","",IF(C12="Masuk",E12-SUM(F12:I12),-E12))</f>
        <v/>
      </c>
    </row>
    <row r="13" customFormat="false" ht="15" hidden="false" customHeight="false" outlineLevel="0" collapsed="false">
      <c r="A13" s="4"/>
      <c r="B13" s="5"/>
      <c r="C13" s="5"/>
      <c r="D13" s="5"/>
      <c r="E13" s="6"/>
      <c r="F13" s="6"/>
      <c r="G13" s="6"/>
      <c r="H13" s="6"/>
      <c r="I13" s="6"/>
      <c r="J13" s="7" t="str">
        <f aca="false">IF(E13="","",IF(C13="Masuk",E13-SUM(F13:I13),-E13))</f>
        <v/>
      </c>
    </row>
    <row r="14" customFormat="false" ht="15" hidden="false" customHeight="false" outlineLevel="0" collapsed="false">
      <c r="A14" s="4"/>
      <c r="B14" s="5"/>
      <c r="C14" s="5"/>
      <c r="D14" s="5"/>
      <c r="E14" s="6"/>
      <c r="F14" s="6"/>
      <c r="G14" s="6"/>
      <c r="H14" s="6"/>
      <c r="I14" s="6"/>
      <c r="J14" s="7" t="str">
        <f aca="false">IF(E14="","",IF(C14="Masuk",E14-SUM(F14:I14),-E14))</f>
        <v/>
      </c>
    </row>
    <row r="15" customFormat="false" ht="15" hidden="false" customHeight="false" outlineLevel="0" collapsed="false">
      <c r="A15" s="4"/>
      <c r="B15" s="5"/>
      <c r="C15" s="5"/>
      <c r="D15" s="5"/>
      <c r="E15" s="6"/>
      <c r="F15" s="6"/>
      <c r="G15" s="6"/>
      <c r="H15" s="6"/>
      <c r="I15" s="6"/>
      <c r="J15" s="7" t="str">
        <f aca="false">IF(E15="","",IF(C15="Masuk",E15-SUM(F15:I15),-E15))</f>
        <v/>
      </c>
    </row>
    <row r="16" customFormat="false" ht="15" hidden="false" customHeight="false" outlineLevel="0" collapsed="false">
      <c r="A16" s="4"/>
      <c r="B16" s="5"/>
      <c r="C16" s="5"/>
      <c r="D16" s="5"/>
      <c r="E16" s="6"/>
      <c r="F16" s="6"/>
      <c r="G16" s="6"/>
      <c r="H16" s="6"/>
      <c r="I16" s="6"/>
      <c r="J16" s="7" t="str">
        <f aca="false">IF(E16="","",IF(C16="Masuk",E16-SUM(F16:I16),-E16))</f>
        <v/>
      </c>
    </row>
    <row r="17" customFormat="false" ht="15" hidden="false" customHeight="false" outlineLevel="0" collapsed="false">
      <c r="A17" s="4"/>
      <c r="B17" s="5"/>
      <c r="C17" s="5"/>
      <c r="D17" s="5"/>
      <c r="E17" s="6"/>
      <c r="F17" s="6"/>
      <c r="G17" s="6"/>
      <c r="H17" s="6"/>
      <c r="I17" s="6"/>
      <c r="J17" s="7" t="str">
        <f aca="false">IF(E17="","",IF(C17="Masuk",E17-SUM(F17:I17),-E17))</f>
        <v/>
      </c>
    </row>
    <row r="18" customFormat="false" ht="15" hidden="false" customHeight="false" outlineLevel="0" collapsed="false">
      <c r="A18" s="4"/>
      <c r="B18" s="5"/>
      <c r="C18" s="5"/>
      <c r="D18" s="5"/>
      <c r="E18" s="6"/>
      <c r="F18" s="6"/>
      <c r="G18" s="6"/>
      <c r="H18" s="6"/>
      <c r="I18" s="6"/>
      <c r="J18" s="7" t="str">
        <f aca="false">IF(E18="","",IF(C18="Masuk",E18-SUM(F18:I18),-E18))</f>
        <v/>
      </c>
    </row>
    <row r="19" customFormat="false" ht="15" hidden="false" customHeight="false" outlineLevel="0" collapsed="false">
      <c r="A19" s="4"/>
      <c r="B19" s="5"/>
      <c r="C19" s="5"/>
      <c r="D19" s="5"/>
      <c r="E19" s="6"/>
      <c r="F19" s="6"/>
      <c r="G19" s="6"/>
      <c r="H19" s="6"/>
      <c r="I19" s="6"/>
      <c r="J19" s="7" t="str">
        <f aca="false">IF(E19="","",IF(C19="Masuk",E19-SUM(F19:I19),-E19))</f>
        <v/>
      </c>
    </row>
    <row r="20" customFormat="false" ht="15" hidden="false" customHeight="false" outlineLevel="0" collapsed="false">
      <c r="A20" s="4"/>
      <c r="B20" s="5"/>
      <c r="C20" s="5"/>
      <c r="D20" s="5"/>
      <c r="E20" s="6"/>
      <c r="F20" s="6"/>
      <c r="G20" s="6"/>
      <c r="H20" s="6"/>
      <c r="I20" s="6"/>
      <c r="J20" s="7" t="str">
        <f aca="false">IF(E20="","",IF(C20="Masuk",E20-SUM(F20:I20),-E20))</f>
        <v/>
      </c>
    </row>
    <row r="21" customFormat="false" ht="15" hidden="false" customHeight="false" outlineLevel="0" collapsed="false">
      <c r="A21" s="4"/>
      <c r="B21" s="5"/>
      <c r="C21" s="5"/>
      <c r="D21" s="5"/>
      <c r="E21" s="6"/>
      <c r="F21" s="6"/>
      <c r="G21" s="6"/>
      <c r="H21" s="6"/>
      <c r="I21" s="6"/>
      <c r="J21" s="7" t="str">
        <f aca="false">IF(E21="","",IF(C21="Masuk",E21-SUM(F21:I21),-E21))</f>
        <v/>
      </c>
    </row>
    <row r="22" customFormat="false" ht="15" hidden="false" customHeight="false" outlineLevel="0" collapsed="false">
      <c r="A22" s="4"/>
      <c r="B22" s="5"/>
      <c r="C22" s="5"/>
      <c r="D22" s="5"/>
      <c r="E22" s="6"/>
      <c r="F22" s="6"/>
      <c r="G22" s="6"/>
      <c r="H22" s="6"/>
      <c r="I22" s="6"/>
      <c r="J22" s="7" t="str">
        <f aca="false">IF(E22="","",IF(C22="Masuk",E22-SUM(F22:I22),-E22))</f>
        <v/>
      </c>
    </row>
    <row r="23" customFormat="false" ht="15" hidden="false" customHeight="false" outlineLevel="0" collapsed="false">
      <c r="A23" s="4"/>
      <c r="B23" s="5"/>
      <c r="C23" s="5"/>
      <c r="D23" s="5"/>
      <c r="E23" s="6"/>
      <c r="F23" s="6"/>
      <c r="G23" s="6"/>
      <c r="H23" s="6"/>
      <c r="I23" s="6"/>
      <c r="J23" s="7" t="str">
        <f aca="false">IF(E23="","",IF(C23="Masuk",E23-SUM(F23:I23),-E23))</f>
        <v/>
      </c>
    </row>
    <row r="24" customFormat="false" ht="15" hidden="false" customHeight="false" outlineLevel="0" collapsed="false">
      <c r="A24" s="4"/>
      <c r="B24" s="5"/>
      <c r="C24" s="5"/>
      <c r="D24" s="5"/>
      <c r="E24" s="6"/>
      <c r="F24" s="6"/>
      <c r="G24" s="6"/>
      <c r="H24" s="6"/>
      <c r="I24" s="6"/>
      <c r="J24" s="7" t="str">
        <f aca="false">IF(E24="","",IF(C24="Masuk",E24-SUM(F24:I24),-E24))</f>
        <v/>
      </c>
    </row>
    <row r="25" customFormat="false" ht="15" hidden="false" customHeight="false" outlineLevel="0" collapsed="false">
      <c r="A25" s="4"/>
      <c r="B25" s="5"/>
      <c r="C25" s="5"/>
      <c r="D25" s="5"/>
      <c r="E25" s="6"/>
      <c r="F25" s="6"/>
      <c r="G25" s="6"/>
      <c r="H25" s="6"/>
      <c r="I25" s="6"/>
      <c r="J25" s="7" t="str">
        <f aca="false">IF(E25="","",IF(C25="Masuk",E25-SUM(F25:I25),-E25))</f>
        <v/>
      </c>
    </row>
    <row r="26" customFormat="false" ht="15" hidden="false" customHeight="false" outlineLevel="0" collapsed="false">
      <c r="A26" s="4"/>
      <c r="B26" s="5"/>
      <c r="C26" s="5"/>
      <c r="D26" s="5"/>
      <c r="E26" s="6"/>
      <c r="F26" s="6"/>
      <c r="G26" s="6"/>
      <c r="H26" s="6"/>
      <c r="I26" s="6"/>
      <c r="J26" s="7" t="str">
        <f aca="false">IF(E26="","",IF(C26="Masuk",E26-SUM(F26:I26),-E26))</f>
        <v/>
      </c>
    </row>
    <row r="27" customFormat="false" ht="15" hidden="false" customHeight="false" outlineLevel="0" collapsed="false">
      <c r="A27" s="4"/>
      <c r="B27" s="5"/>
      <c r="C27" s="5"/>
      <c r="D27" s="5"/>
      <c r="E27" s="6"/>
      <c r="F27" s="6"/>
      <c r="G27" s="6"/>
      <c r="H27" s="6"/>
      <c r="I27" s="6"/>
      <c r="J27" s="7" t="str">
        <f aca="false">IF(E27="","",IF(C27="Masuk",E27-SUM(F27:I27),-E27))</f>
        <v/>
      </c>
    </row>
    <row r="28" customFormat="false" ht="15" hidden="false" customHeight="false" outlineLevel="0" collapsed="false">
      <c r="A28" s="4"/>
      <c r="B28" s="5"/>
      <c r="C28" s="5"/>
      <c r="D28" s="5"/>
      <c r="E28" s="6"/>
      <c r="F28" s="6"/>
      <c r="G28" s="6"/>
      <c r="H28" s="6"/>
      <c r="I28" s="6"/>
      <c r="J28" s="7" t="str">
        <f aca="false">IF(E28="","",IF(C28="Masuk",E28-SUM(F28:I28),-E28))</f>
        <v/>
      </c>
    </row>
    <row r="29" customFormat="false" ht="15" hidden="false" customHeight="false" outlineLevel="0" collapsed="false">
      <c r="A29" s="4"/>
      <c r="B29" s="5"/>
      <c r="C29" s="5"/>
      <c r="D29" s="5"/>
      <c r="E29" s="6"/>
      <c r="F29" s="6"/>
      <c r="G29" s="6"/>
      <c r="H29" s="6"/>
      <c r="I29" s="6"/>
      <c r="J29" s="7" t="str">
        <f aca="false">IF(E29="","",IF(C29="Masuk",E29-SUM(F29:I29),-E29))</f>
        <v/>
      </c>
    </row>
    <row r="30" customFormat="false" ht="15" hidden="false" customHeight="false" outlineLevel="0" collapsed="false">
      <c r="A30" s="4"/>
      <c r="B30" s="5"/>
      <c r="C30" s="5"/>
      <c r="D30" s="5"/>
      <c r="E30" s="6"/>
      <c r="F30" s="6"/>
      <c r="G30" s="6"/>
      <c r="H30" s="6"/>
      <c r="I30" s="6"/>
      <c r="J30" s="7" t="str">
        <f aca="false">IF(E30="","",IF(C30="Masuk",E30-SUM(F30:I30),-E30))</f>
        <v/>
      </c>
    </row>
    <row r="31" customFormat="false" ht="15" hidden="false" customHeight="false" outlineLevel="0" collapsed="false">
      <c r="A31" s="4"/>
      <c r="B31" s="5"/>
      <c r="C31" s="5"/>
      <c r="D31" s="5"/>
      <c r="E31" s="6"/>
      <c r="F31" s="6"/>
      <c r="G31" s="6"/>
      <c r="H31" s="6"/>
      <c r="I31" s="6"/>
      <c r="J31" s="7" t="str">
        <f aca="false">IF(E31="","",IF(C31="Masuk",E31-SUM(F31:I31),-E31))</f>
        <v/>
      </c>
    </row>
    <row r="32" customFormat="false" ht="15" hidden="false" customHeight="false" outlineLevel="0" collapsed="false">
      <c r="A32" s="4"/>
      <c r="B32" s="5"/>
      <c r="C32" s="5"/>
      <c r="D32" s="5"/>
      <c r="E32" s="6"/>
      <c r="F32" s="6"/>
      <c r="G32" s="6"/>
      <c r="H32" s="6"/>
      <c r="I32" s="6"/>
      <c r="J32" s="7" t="str">
        <f aca="false">IF(E32="","",IF(C32="Masuk",E32-SUM(F32:I32),-E32))</f>
        <v/>
      </c>
    </row>
    <row r="33" customFormat="false" ht="15" hidden="false" customHeight="false" outlineLevel="0" collapsed="false">
      <c r="A33" s="4"/>
      <c r="B33" s="5"/>
      <c r="C33" s="5"/>
      <c r="D33" s="5"/>
      <c r="E33" s="6"/>
      <c r="F33" s="6"/>
      <c r="G33" s="6"/>
      <c r="H33" s="6"/>
      <c r="I33" s="6"/>
      <c r="J33" s="7" t="str">
        <f aca="false">IF(E33="","",IF(C33="Masuk",E33-SUM(F33:I33),-E33))</f>
        <v/>
      </c>
    </row>
    <row r="34" customFormat="false" ht="15" hidden="false" customHeight="false" outlineLevel="0" collapsed="false">
      <c r="A34" s="4"/>
      <c r="B34" s="5"/>
      <c r="C34" s="5"/>
      <c r="D34" s="5"/>
      <c r="E34" s="6"/>
      <c r="F34" s="6"/>
      <c r="G34" s="6"/>
      <c r="H34" s="6"/>
      <c r="I34" s="6"/>
      <c r="J34" s="7" t="str">
        <f aca="false">IF(E34="","",IF(C34="Masuk",E34-SUM(F34:I34),-E34))</f>
        <v/>
      </c>
    </row>
    <row r="35" customFormat="false" ht="15" hidden="false" customHeight="false" outlineLevel="0" collapsed="false">
      <c r="A35" s="4"/>
      <c r="B35" s="5"/>
      <c r="C35" s="5"/>
      <c r="D35" s="5"/>
      <c r="E35" s="6"/>
      <c r="F35" s="6"/>
      <c r="G35" s="6"/>
      <c r="H35" s="6"/>
      <c r="I35" s="6"/>
      <c r="J35" s="7" t="str">
        <f aca="false">IF(E35="","",IF(C35="Masuk",E35-SUM(F35:I35),-E35))</f>
        <v/>
      </c>
    </row>
    <row r="36" customFormat="false" ht="15" hidden="false" customHeight="false" outlineLevel="0" collapsed="false">
      <c r="A36" s="4"/>
      <c r="B36" s="5"/>
      <c r="C36" s="5"/>
      <c r="D36" s="5"/>
      <c r="E36" s="6"/>
      <c r="F36" s="6"/>
      <c r="G36" s="6"/>
      <c r="H36" s="6"/>
      <c r="I36" s="6"/>
      <c r="J36" s="7" t="str">
        <f aca="false">IF(E36="","",IF(C36="Masuk",E36-SUM(F36:I36),-E36))</f>
        <v/>
      </c>
    </row>
    <row r="37" customFormat="false" ht="15" hidden="false" customHeight="false" outlineLevel="0" collapsed="false">
      <c r="A37" s="4"/>
      <c r="B37" s="5"/>
      <c r="C37" s="5"/>
      <c r="D37" s="5"/>
      <c r="E37" s="6"/>
      <c r="F37" s="6"/>
      <c r="G37" s="6"/>
      <c r="H37" s="6"/>
      <c r="I37" s="6"/>
      <c r="J37" s="7" t="str">
        <f aca="false">IF(E37="","",IF(C37="Masuk",E37-SUM(F37:I37),-E37))</f>
        <v/>
      </c>
    </row>
    <row r="38" customFormat="false" ht="15" hidden="false" customHeight="false" outlineLevel="0" collapsed="false">
      <c r="A38" s="4"/>
      <c r="B38" s="5"/>
      <c r="C38" s="5"/>
      <c r="D38" s="5"/>
      <c r="E38" s="6"/>
      <c r="F38" s="6"/>
      <c r="G38" s="6"/>
      <c r="H38" s="6"/>
      <c r="I38" s="6"/>
      <c r="J38" s="7" t="str">
        <f aca="false">IF(E38="","",IF(C38="Masuk",E38-SUM(F38:I38),-E38))</f>
        <v/>
      </c>
    </row>
    <row r="39" customFormat="false" ht="15" hidden="false" customHeight="false" outlineLevel="0" collapsed="false">
      <c r="A39" s="4"/>
      <c r="B39" s="5"/>
      <c r="C39" s="5"/>
      <c r="D39" s="5"/>
      <c r="E39" s="6"/>
      <c r="F39" s="6"/>
      <c r="G39" s="6"/>
      <c r="H39" s="6"/>
      <c r="I39" s="6"/>
      <c r="J39" s="7" t="str">
        <f aca="false">IF(E39="","",IF(C39="Masuk",E39-SUM(F39:I39),-E39))</f>
        <v/>
      </c>
    </row>
    <row r="40" customFormat="false" ht="15" hidden="false" customHeight="false" outlineLevel="0" collapsed="false">
      <c r="A40" s="4"/>
      <c r="B40" s="5"/>
      <c r="C40" s="5"/>
      <c r="D40" s="5"/>
      <c r="E40" s="6"/>
      <c r="F40" s="6"/>
      <c r="G40" s="6"/>
      <c r="H40" s="6"/>
      <c r="I40" s="6"/>
      <c r="J40" s="7" t="str">
        <f aca="false">IF(E40="","",IF(C40="Masuk",E40-SUM(F40:I40),-E40))</f>
        <v/>
      </c>
    </row>
    <row r="41" customFormat="false" ht="15" hidden="false" customHeight="false" outlineLevel="0" collapsed="false">
      <c r="A41" s="4"/>
      <c r="B41" s="5"/>
      <c r="C41" s="5"/>
      <c r="D41" s="5"/>
      <c r="E41" s="6"/>
      <c r="F41" s="6"/>
      <c r="G41" s="6"/>
      <c r="H41" s="6"/>
      <c r="I41" s="6"/>
      <c r="J41" s="7" t="str">
        <f aca="false">IF(E41="","",IF(C41="Masuk",E41-SUM(F41:I41),-E41))</f>
        <v/>
      </c>
    </row>
    <row r="42" customFormat="false" ht="15" hidden="false" customHeight="false" outlineLevel="0" collapsed="false">
      <c r="A42" s="4"/>
      <c r="B42" s="5"/>
      <c r="C42" s="5"/>
      <c r="D42" s="5"/>
      <c r="E42" s="6"/>
      <c r="F42" s="6"/>
      <c r="G42" s="6"/>
      <c r="H42" s="6"/>
      <c r="I42" s="6"/>
      <c r="J42" s="7" t="str">
        <f aca="false">IF(E42="","",IF(C42="Masuk",E42-SUM(F42:I42),-E42))</f>
        <v/>
      </c>
    </row>
    <row r="43" customFormat="false" ht="15" hidden="false" customHeight="false" outlineLevel="0" collapsed="false">
      <c r="A43" s="4"/>
      <c r="B43" s="5"/>
      <c r="C43" s="5"/>
      <c r="D43" s="5"/>
      <c r="E43" s="6"/>
      <c r="F43" s="6"/>
      <c r="G43" s="6"/>
      <c r="H43" s="6"/>
      <c r="I43" s="6"/>
      <c r="J43" s="7" t="str">
        <f aca="false">IF(E43="","",IF(C43="Masuk",E43-SUM(F43:I43),-E43))</f>
        <v/>
      </c>
    </row>
    <row r="44" customFormat="false" ht="15" hidden="false" customHeight="false" outlineLevel="0" collapsed="false">
      <c r="A44" s="4"/>
      <c r="B44" s="5"/>
      <c r="C44" s="5"/>
      <c r="D44" s="5"/>
      <c r="E44" s="6"/>
      <c r="F44" s="6"/>
      <c r="G44" s="6"/>
      <c r="H44" s="6"/>
      <c r="I44" s="6"/>
      <c r="J44" s="7" t="str">
        <f aca="false">IF(E44="","",IF(C44="Masuk",E44-SUM(F44:I44),-E44))</f>
        <v/>
      </c>
    </row>
    <row r="45" customFormat="false" ht="15" hidden="false" customHeight="false" outlineLevel="0" collapsed="false">
      <c r="A45" s="4"/>
      <c r="B45" s="5"/>
      <c r="C45" s="5"/>
      <c r="D45" s="5"/>
      <c r="E45" s="6"/>
      <c r="F45" s="6"/>
      <c r="G45" s="6"/>
      <c r="H45" s="6"/>
      <c r="I45" s="6"/>
      <c r="J45" s="7" t="str">
        <f aca="false">IF(E45="","",IF(C45="Masuk",E45-SUM(F45:I45),-E45))</f>
        <v/>
      </c>
    </row>
    <row r="46" customFormat="false" ht="15" hidden="false" customHeight="false" outlineLevel="0" collapsed="false">
      <c r="A46" s="4"/>
      <c r="B46" s="5"/>
      <c r="C46" s="5"/>
      <c r="D46" s="5"/>
      <c r="E46" s="6"/>
      <c r="F46" s="6"/>
      <c r="G46" s="6"/>
      <c r="H46" s="6"/>
      <c r="I46" s="6"/>
      <c r="J46" s="7" t="str">
        <f aca="false">IF(E46="","",IF(C46="Masuk",E46-SUM(F46:I46),-E46))</f>
        <v/>
      </c>
    </row>
    <row r="47" customFormat="false" ht="15" hidden="false" customHeight="false" outlineLevel="0" collapsed="false">
      <c r="A47" s="4"/>
      <c r="B47" s="5"/>
      <c r="C47" s="5"/>
      <c r="D47" s="5"/>
      <c r="E47" s="6"/>
      <c r="F47" s="6"/>
      <c r="G47" s="6"/>
      <c r="H47" s="6"/>
      <c r="I47" s="6"/>
      <c r="J47" s="7" t="str">
        <f aca="false">IF(E47="","",IF(C47="Masuk",E47-SUM(F47:I47),-E47))</f>
        <v/>
      </c>
    </row>
    <row r="48" customFormat="false" ht="15" hidden="false" customHeight="false" outlineLevel="0" collapsed="false">
      <c r="A48" s="4"/>
      <c r="B48" s="5"/>
      <c r="C48" s="5"/>
      <c r="D48" s="5"/>
      <c r="E48" s="6"/>
      <c r="F48" s="6"/>
      <c r="G48" s="6"/>
      <c r="H48" s="6"/>
      <c r="I48" s="6"/>
      <c r="J48" s="7" t="str">
        <f aca="false">IF(E48="","",IF(C48="Masuk",E48-SUM(F48:I48),-E48))</f>
        <v/>
      </c>
    </row>
    <row r="49" customFormat="false" ht="15" hidden="false" customHeight="false" outlineLevel="0" collapsed="false">
      <c r="A49" s="4"/>
      <c r="B49" s="5"/>
      <c r="C49" s="5"/>
      <c r="D49" s="5"/>
      <c r="E49" s="6"/>
      <c r="F49" s="6"/>
      <c r="G49" s="6"/>
      <c r="H49" s="6"/>
      <c r="I49" s="6"/>
      <c r="J49" s="7" t="str">
        <f aca="false">IF(E49="","",IF(C49="Masuk",E49-SUM(F49:I49),-E49))</f>
        <v/>
      </c>
    </row>
    <row r="50" customFormat="false" ht="15" hidden="false" customHeight="false" outlineLevel="0" collapsed="false">
      <c r="A50" s="4"/>
      <c r="B50" s="5"/>
      <c r="C50" s="5"/>
      <c r="D50" s="5"/>
      <c r="E50" s="6"/>
      <c r="F50" s="6"/>
      <c r="G50" s="6"/>
      <c r="H50" s="6"/>
      <c r="I50" s="6"/>
      <c r="J50" s="7" t="str">
        <f aca="false">IF(E50="","",IF(C50="Masuk",E50-SUM(F50:I50),-E50))</f>
        <v/>
      </c>
    </row>
    <row r="51" customFormat="false" ht="15" hidden="false" customHeight="false" outlineLevel="0" collapsed="false">
      <c r="A51" s="4"/>
      <c r="B51" s="5"/>
      <c r="C51" s="5"/>
      <c r="D51" s="5"/>
      <c r="E51" s="6"/>
      <c r="F51" s="6"/>
      <c r="G51" s="6"/>
      <c r="H51" s="6"/>
      <c r="I51" s="6"/>
      <c r="J51" s="7" t="str">
        <f aca="false">IF(E51="","",IF(C51="Masuk",E51-SUM(F51:I51),-E51))</f>
        <v/>
      </c>
    </row>
    <row r="52" customFormat="false" ht="15" hidden="false" customHeight="false" outlineLevel="0" collapsed="false">
      <c r="A52" s="4"/>
      <c r="B52" s="5"/>
      <c r="C52" s="5"/>
      <c r="D52" s="5"/>
      <c r="E52" s="6"/>
      <c r="F52" s="6"/>
      <c r="G52" s="6"/>
      <c r="H52" s="6"/>
      <c r="I52" s="6"/>
      <c r="J52" s="7" t="str">
        <f aca="false">IF(E52="","",IF(C52="Masuk",E52-SUM(F52:I52),-E52))</f>
        <v/>
      </c>
    </row>
    <row r="53" customFormat="false" ht="15" hidden="false" customHeight="false" outlineLevel="0" collapsed="false">
      <c r="A53" s="4"/>
      <c r="B53" s="5"/>
      <c r="C53" s="5"/>
      <c r="D53" s="5"/>
      <c r="E53" s="6"/>
      <c r="F53" s="6"/>
      <c r="G53" s="6"/>
      <c r="H53" s="6"/>
      <c r="I53" s="6"/>
      <c r="J53" s="7" t="str">
        <f aca="false">IF(E53="","",IF(C53="Masuk",E53-SUM(F53:I53),-E53))</f>
        <v/>
      </c>
    </row>
    <row r="54" customFormat="false" ht="15" hidden="false" customHeight="false" outlineLevel="0" collapsed="false">
      <c r="A54" s="4"/>
      <c r="B54" s="5"/>
      <c r="C54" s="5"/>
      <c r="D54" s="5"/>
      <c r="E54" s="6"/>
      <c r="F54" s="6"/>
      <c r="G54" s="6"/>
      <c r="H54" s="6"/>
      <c r="I54" s="6"/>
      <c r="J54" s="7" t="str">
        <f aca="false">IF(E54="","",IF(C54="Masuk",E54-SUM(F54:I54),-E54))</f>
        <v/>
      </c>
    </row>
    <row r="55" customFormat="false" ht="15" hidden="false" customHeight="false" outlineLevel="0" collapsed="false">
      <c r="A55" s="4"/>
      <c r="B55" s="5"/>
      <c r="C55" s="5"/>
      <c r="D55" s="5"/>
      <c r="E55" s="6"/>
      <c r="F55" s="6"/>
      <c r="G55" s="6"/>
      <c r="H55" s="6"/>
      <c r="I55" s="6"/>
      <c r="J55" s="7" t="str">
        <f aca="false">IF(E55="","",IF(C55="Masuk",E55-SUM(F55:I55),-E55))</f>
        <v/>
      </c>
    </row>
    <row r="56" customFormat="false" ht="15" hidden="false" customHeight="false" outlineLevel="0" collapsed="false">
      <c r="A56" s="4"/>
      <c r="B56" s="5"/>
      <c r="C56" s="5"/>
      <c r="D56" s="5"/>
      <c r="E56" s="6"/>
      <c r="F56" s="6"/>
      <c r="G56" s="6"/>
      <c r="H56" s="6"/>
      <c r="I56" s="6"/>
      <c r="J56" s="7" t="str">
        <f aca="false">IF(E56="","",IF(C56="Masuk",E56-SUM(F56:I56),-E56))</f>
        <v/>
      </c>
    </row>
    <row r="57" customFormat="false" ht="15" hidden="false" customHeight="false" outlineLevel="0" collapsed="false">
      <c r="A57" s="4"/>
      <c r="B57" s="5"/>
      <c r="C57" s="5"/>
      <c r="D57" s="5"/>
      <c r="E57" s="6"/>
      <c r="F57" s="6"/>
      <c r="G57" s="6"/>
      <c r="H57" s="6"/>
      <c r="I57" s="6"/>
      <c r="J57" s="7" t="str">
        <f aca="false">IF(E57="","",IF(C57="Masuk",E57-SUM(F57:I57),-E57))</f>
        <v/>
      </c>
    </row>
    <row r="58" customFormat="false" ht="15" hidden="false" customHeight="false" outlineLevel="0" collapsed="false">
      <c r="A58" s="4"/>
      <c r="B58" s="5"/>
      <c r="C58" s="5"/>
      <c r="D58" s="5"/>
      <c r="E58" s="6"/>
      <c r="F58" s="6"/>
      <c r="G58" s="6"/>
      <c r="H58" s="6"/>
      <c r="I58" s="6"/>
      <c r="J58" s="7" t="str">
        <f aca="false">IF(E58="","",IF(C58="Masuk",E58-SUM(F58:I58),-E58))</f>
        <v/>
      </c>
    </row>
    <row r="59" customFormat="false" ht="15" hidden="false" customHeight="false" outlineLevel="0" collapsed="false">
      <c r="A59" s="4"/>
      <c r="B59" s="5"/>
      <c r="C59" s="5"/>
      <c r="D59" s="5"/>
      <c r="E59" s="6"/>
      <c r="F59" s="6"/>
      <c r="G59" s="6"/>
      <c r="H59" s="6"/>
      <c r="I59" s="6"/>
      <c r="J59" s="7" t="str">
        <f aca="false">IF(E59="","",IF(C59="Masuk",E59-SUM(F59:I59),-E59))</f>
        <v/>
      </c>
    </row>
    <row r="60" customFormat="false" ht="15" hidden="false" customHeight="false" outlineLevel="0" collapsed="false">
      <c r="A60" s="4"/>
      <c r="B60" s="5"/>
      <c r="C60" s="5"/>
      <c r="D60" s="5"/>
      <c r="E60" s="6"/>
      <c r="F60" s="6"/>
      <c r="G60" s="6"/>
      <c r="H60" s="6"/>
      <c r="I60" s="6"/>
      <c r="J60" s="7" t="str">
        <f aca="false">IF(E60="","",IF(C60="Masuk",E60-SUM(F60:I60),-E60))</f>
        <v/>
      </c>
    </row>
    <row r="61" customFormat="false" ht="15" hidden="false" customHeight="false" outlineLevel="0" collapsed="false">
      <c r="A61" s="4"/>
      <c r="B61" s="5"/>
      <c r="C61" s="5"/>
      <c r="D61" s="5"/>
      <c r="E61" s="6"/>
      <c r="F61" s="6"/>
      <c r="G61" s="6"/>
      <c r="H61" s="6"/>
      <c r="I61" s="6"/>
      <c r="J61" s="7" t="str">
        <f aca="false">IF(E61="","",IF(C61="Masuk",E61-SUM(F61:I61),-E61))</f>
        <v/>
      </c>
    </row>
    <row r="62" customFormat="false" ht="15" hidden="false" customHeight="false" outlineLevel="0" collapsed="false">
      <c r="A62" s="4"/>
      <c r="B62" s="5"/>
      <c r="C62" s="5"/>
      <c r="D62" s="5"/>
      <c r="E62" s="6"/>
      <c r="F62" s="6"/>
      <c r="G62" s="6"/>
      <c r="H62" s="6"/>
      <c r="I62" s="6"/>
      <c r="J62" s="7" t="str">
        <f aca="false">IF(E62="","",IF(C62="Masuk",E62-SUM(F62:I62),-E62))</f>
        <v/>
      </c>
    </row>
    <row r="63" customFormat="false" ht="15" hidden="false" customHeight="false" outlineLevel="0" collapsed="false">
      <c r="A63" s="4"/>
      <c r="B63" s="5"/>
      <c r="C63" s="5"/>
      <c r="D63" s="5"/>
      <c r="E63" s="6"/>
      <c r="F63" s="6"/>
      <c r="G63" s="6"/>
      <c r="H63" s="6"/>
      <c r="I63" s="6"/>
      <c r="J63" s="7" t="str">
        <f aca="false">IF(E63="","",IF(C63="Masuk",E63-SUM(F63:I63),-E63))</f>
        <v/>
      </c>
    </row>
    <row r="64" customFormat="false" ht="15" hidden="false" customHeight="false" outlineLevel="0" collapsed="false">
      <c r="A64" s="4"/>
      <c r="B64" s="5"/>
      <c r="C64" s="5"/>
      <c r="D64" s="5"/>
      <c r="E64" s="6"/>
      <c r="F64" s="6"/>
      <c r="G64" s="6"/>
      <c r="H64" s="6"/>
      <c r="I64" s="6"/>
      <c r="J64" s="7" t="str">
        <f aca="false">IF(E64="","",IF(C64="Masuk",E64-SUM(F64:I64),-E64))</f>
        <v/>
      </c>
    </row>
    <row r="65" customFormat="false" ht="15" hidden="false" customHeight="false" outlineLevel="0" collapsed="false">
      <c r="A65" s="4"/>
      <c r="B65" s="5"/>
      <c r="C65" s="5"/>
      <c r="D65" s="5"/>
      <c r="E65" s="6"/>
      <c r="F65" s="6"/>
      <c r="G65" s="6"/>
      <c r="H65" s="6"/>
      <c r="I65" s="6"/>
      <c r="J65" s="7" t="str">
        <f aca="false">IF(E65="","",IF(C65="Masuk",E65-SUM(F65:I65),-E65))</f>
        <v/>
      </c>
    </row>
    <row r="66" customFormat="false" ht="15" hidden="false" customHeight="false" outlineLevel="0" collapsed="false">
      <c r="A66" s="4"/>
      <c r="B66" s="5"/>
      <c r="C66" s="5"/>
      <c r="D66" s="5"/>
      <c r="E66" s="6"/>
      <c r="F66" s="6"/>
      <c r="G66" s="6"/>
      <c r="H66" s="6"/>
      <c r="I66" s="6"/>
      <c r="J66" s="7" t="str">
        <f aca="false">IF(E66="","",IF(C66="Masuk",E66-SUM(F66:I66),-E66))</f>
        <v/>
      </c>
    </row>
    <row r="67" customFormat="false" ht="15" hidden="false" customHeight="false" outlineLevel="0" collapsed="false">
      <c r="A67" s="4"/>
      <c r="B67" s="5"/>
      <c r="C67" s="5"/>
      <c r="D67" s="5"/>
      <c r="E67" s="6"/>
      <c r="F67" s="6"/>
      <c r="G67" s="6"/>
      <c r="H67" s="6"/>
      <c r="I67" s="6"/>
      <c r="J67" s="7" t="str">
        <f aca="false">IF(E67="","",IF(C67="Masuk",E67-SUM(F67:I67),-E67))</f>
        <v/>
      </c>
    </row>
    <row r="68" customFormat="false" ht="15" hidden="false" customHeight="false" outlineLevel="0" collapsed="false">
      <c r="A68" s="4"/>
      <c r="B68" s="5"/>
      <c r="C68" s="5"/>
      <c r="D68" s="5"/>
      <c r="E68" s="6"/>
      <c r="F68" s="6"/>
      <c r="G68" s="6"/>
      <c r="H68" s="6"/>
      <c r="I68" s="6"/>
      <c r="J68" s="7" t="str">
        <f aca="false">IF(E68="","",IF(C68="Masuk",E68-SUM(F68:I68),-E68))</f>
        <v/>
      </c>
    </row>
    <row r="69" customFormat="false" ht="15" hidden="false" customHeight="false" outlineLevel="0" collapsed="false">
      <c r="A69" s="4"/>
      <c r="B69" s="5"/>
      <c r="C69" s="5"/>
      <c r="D69" s="5"/>
      <c r="E69" s="6"/>
      <c r="F69" s="6"/>
      <c r="G69" s="6"/>
      <c r="H69" s="6"/>
      <c r="I69" s="6"/>
      <c r="J69" s="7" t="str">
        <f aca="false">IF(E69="","",IF(C69="Masuk",E69-SUM(F69:I69),-E69))</f>
        <v/>
      </c>
    </row>
    <row r="70" customFormat="false" ht="15" hidden="false" customHeight="false" outlineLevel="0" collapsed="false">
      <c r="A70" s="4"/>
      <c r="B70" s="5"/>
      <c r="C70" s="5"/>
      <c r="D70" s="5"/>
      <c r="E70" s="6"/>
      <c r="F70" s="6"/>
      <c r="G70" s="6"/>
      <c r="H70" s="6"/>
      <c r="I70" s="6"/>
      <c r="J70" s="7" t="str">
        <f aca="false">IF(E70="","",IF(C70="Masuk",E70-SUM(F70:I70),-E70))</f>
        <v/>
      </c>
    </row>
    <row r="71" customFormat="false" ht="15" hidden="false" customHeight="false" outlineLevel="0" collapsed="false">
      <c r="A71" s="4"/>
      <c r="B71" s="5"/>
      <c r="C71" s="5"/>
      <c r="D71" s="5"/>
      <c r="E71" s="6"/>
      <c r="F71" s="6"/>
      <c r="G71" s="6"/>
      <c r="H71" s="6"/>
      <c r="I71" s="6"/>
      <c r="J71" s="7" t="str">
        <f aca="false">IF(E71="","",IF(C71="Masuk",E71-SUM(F71:I71),-E71))</f>
        <v/>
      </c>
    </row>
    <row r="72" customFormat="false" ht="15" hidden="false" customHeight="false" outlineLevel="0" collapsed="false">
      <c r="A72" s="4"/>
      <c r="B72" s="5"/>
      <c r="C72" s="5"/>
      <c r="D72" s="5"/>
      <c r="E72" s="6"/>
      <c r="F72" s="6"/>
      <c r="G72" s="6"/>
      <c r="H72" s="6"/>
      <c r="I72" s="6"/>
      <c r="J72" s="7" t="str">
        <f aca="false">IF(E72="","",IF(C72="Masuk",E72-SUM(F72:I72),-E72))</f>
        <v/>
      </c>
    </row>
    <row r="73" customFormat="false" ht="15" hidden="false" customHeight="false" outlineLevel="0" collapsed="false">
      <c r="A73" s="4"/>
      <c r="B73" s="5"/>
      <c r="C73" s="5"/>
      <c r="D73" s="5"/>
      <c r="E73" s="6"/>
      <c r="F73" s="6"/>
      <c r="G73" s="6"/>
      <c r="H73" s="6"/>
      <c r="I73" s="6"/>
      <c r="J73" s="7" t="str">
        <f aca="false">IF(E73="","",IF(C73="Masuk",E73-SUM(F73:I73),-E73))</f>
        <v/>
      </c>
    </row>
    <row r="74" customFormat="false" ht="15" hidden="false" customHeight="false" outlineLevel="0" collapsed="false">
      <c r="A74" s="4"/>
      <c r="B74" s="5"/>
      <c r="C74" s="5"/>
      <c r="D74" s="5"/>
      <c r="E74" s="6"/>
      <c r="F74" s="6"/>
      <c r="G74" s="6"/>
      <c r="H74" s="6"/>
      <c r="I74" s="6"/>
      <c r="J74" s="7" t="str">
        <f aca="false">IF(E74="","",IF(C74="Masuk",E74-SUM(F74:I74),-E74))</f>
        <v/>
      </c>
    </row>
    <row r="75" customFormat="false" ht="15" hidden="false" customHeight="false" outlineLevel="0" collapsed="false">
      <c r="A75" s="4"/>
      <c r="B75" s="5"/>
      <c r="C75" s="5"/>
      <c r="D75" s="5"/>
      <c r="E75" s="6"/>
      <c r="F75" s="6"/>
      <c r="G75" s="6"/>
      <c r="H75" s="6"/>
      <c r="I75" s="6"/>
      <c r="J75" s="7" t="str">
        <f aca="false">IF(E75="","",IF(C75="Masuk",E75-SUM(F75:I75),-E75))</f>
        <v/>
      </c>
    </row>
    <row r="76" customFormat="false" ht="15" hidden="false" customHeight="false" outlineLevel="0" collapsed="false">
      <c r="A76" s="4"/>
      <c r="B76" s="5"/>
      <c r="C76" s="5"/>
      <c r="D76" s="5"/>
      <c r="E76" s="6"/>
      <c r="F76" s="6"/>
      <c r="G76" s="6"/>
      <c r="H76" s="6"/>
      <c r="I76" s="6"/>
      <c r="J76" s="7" t="str">
        <f aca="false">IF(E76="","",IF(C76="Masuk",E76-SUM(F76:I76),-E76))</f>
        <v/>
      </c>
    </row>
    <row r="77" customFormat="false" ht="15" hidden="false" customHeight="false" outlineLevel="0" collapsed="false">
      <c r="A77" s="4"/>
      <c r="B77" s="5"/>
      <c r="C77" s="5"/>
      <c r="D77" s="5"/>
      <c r="E77" s="6"/>
      <c r="F77" s="6"/>
      <c r="G77" s="6"/>
      <c r="H77" s="6"/>
      <c r="I77" s="6"/>
      <c r="J77" s="7" t="str">
        <f aca="false">IF(E77="","",IF(C77="Masuk",E77-SUM(F77:I77),-E77))</f>
        <v/>
      </c>
    </row>
    <row r="78" customFormat="false" ht="15" hidden="false" customHeight="false" outlineLevel="0" collapsed="false">
      <c r="A78" s="4"/>
      <c r="B78" s="5"/>
      <c r="C78" s="5"/>
      <c r="D78" s="5"/>
      <c r="E78" s="6"/>
      <c r="F78" s="6"/>
      <c r="G78" s="6"/>
      <c r="H78" s="6"/>
      <c r="I78" s="6"/>
      <c r="J78" s="7" t="str">
        <f aca="false">IF(E78="","",IF(C78="Masuk",E78-SUM(F78:I78),-E78))</f>
        <v/>
      </c>
    </row>
    <row r="79" customFormat="false" ht="15" hidden="false" customHeight="false" outlineLevel="0" collapsed="false">
      <c r="A79" s="4"/>
      <c r="B79" s="5"/>
      <c r="C79" s="5"/>
      <c r="D79" s="5"/>
      <c r="E79" s="6"/>
      <c r="F79" s="6"/>
      <c r="G79" s="6"/>
      <c r="H79" s="6"/>
      <c r="I79" s="6"/>
      <c r="J79" s="7" t="str">
        <f aca="false">IF(E79="","",IF(C79="Masuk",E79-SUM(F79:I79),-E79))</f>
        <v/>
      </c>
    </row>
    <row r="80" customFormat="false" ht="15" hidden="false" customHeight="false" outlineLevel="0" collapsed="false">
      <c r="A80" s="4"/>
      <c r="B80" s="5"/>
      <c r="C80" s="5"/>
      <c r="D80" s="5"/>
      <c r="E80" s="6"/>
      <c r="F80" s="6"/>
      <c r="G80" s="6"/>
      <c r="H80" s="6"/>
      <c r="I80" s="6"/>
      <c r="J80" s="7" t="str">
        <f aca="false">IF(E80="","",IF(C80="Masuk",E80-SUM(F80:I80),-E80))</f>
        <v/>
      </c>
    </row>
    <row r="81" customFormat="false" ht="15" hidden="false" customHeight="false" outlineLevel="0" collapsed="false">
      <c r="A81" s="4"/>
      <c r="B81" s="5"/>
      <c r="C81" s="5"/>
      <c r="D81" s="5"/>
      <c r="E81" s="6"/>
      <c r="F81" s="6"/>
      <c r="G81" s="6"/>
      <c r="H81" s="6"/>
      <c r="I81" s="6"/>
      <c r="J81" s="7" t="str">
        <f aca="false">IF(E81="","",IF(C81="Masuk",E81-SUM(F81:I81),-E81))</f>
        <v/>
      </c>
    </row>
    <row r="82" customFormat="false" ht="15" hidden="false" customHeight="false" outlineLevel="0" collapsed="false">
      <c r="A82" s="4"/>
      <c r="B82" s="5"/>
      <c r="C82" s="5"/>
      <c r="D82" s="5"/>
      <c r="E82" s="6"/>
      <c r="F82" s="6"/>
      <c r="G82" s="6"/>
      <c r="H82" s="6"/>
      <c r="I82" s="6"/>
      <c r="J82" s="7" t="str">
        <f aca="false">IF(E82="","",IF(C82="Masuk",E82-SUM(F82:I82),-E82))</f>
        <v/>
      </c>
    </row>
    <row r="83" customFormat="false" ht="15" hidden="false" customHeight="false" outlineLevel="0" collapsed="false">
      <c r="A83" s="4"/>
      <c r="B83" s="5"/>
      <c r="C83" s="5"/>
      <c r="D83" s="5"/>
      <c r="E83" s="6"/>
      <c r="F83" s="6"/>
      <c r="G83" s="6"/>
      <c r="H83" s="6"/>
      <c r="I83" s="6"/>
      <c r="J83" s="7" t="str">
        <f aca="false">IF(E83="","",IF(C83="Masuk",E83-SUM(F83:I83),-E83))</f>
        <v/>
      </c>
    </row>
    <row r="84" customFormat="false" ht="15" hidden="false" customHeight="false" outlineLevel="0" collapsed="false">
      <c r="A84" s="4"/>
      <c r="B84" s="5"/>
      <c r="C84" s="5"/>
      <c r="D84" s="5"/>
      <c r="E84" s="6"/>
      <c r="F84" s="6"/>
      <c r="G84" s="6"/>
      <c r="H84" s="6"/>
      <c r="I84" s="6"/>
      <c r="J84" s="7" t="str">
        <f aca="false">IF(E84="","",IF(C84="Masuk",E84-SUM(F84:I84),-E84))</f>
        <v/>
      </c>
    </row>
    <row r="85" customFormat="false" ht="15" hidden="false" customHeight="false" outlineLevel="0" collapsed="false">
      <c r="A85" s="4"/>
      <c r="B85" s="5"/>
      <c r="C85" s="5"/>
      <c r="D85" s="5"/>
      <c r="E85" s="6"/>
      <c r="F85" s="6"/>
      <c r="G85" s="6"/>
      <c r="H85" s="6"/>
      <c r="I85" s="6"/>
      <c r="J85" s="7" t="str">
        <f aca="false">IF(E85="","",IF(C85="Masuk",E85-SUM(F85:I85),-E85))</f>
        <v/>
      </c>
    </row>
    <row r="86" customFormat="false" ht="15" hidden="false" customHeight="false" outlineLevel="0" collapsed="false">
      <c r="A86" s="4"/>
      <c r="B86" s="5"/>
      <c r="C86" s="5"/>
      <c r="D86" s="5"/>
      <c r="E86" s="6"/>
      <c r="F86" s="6"/>
      <c r="G86" s="6"/>
      <c r="H86" s="6"/>
      <c r="I86" s="6"/>
      <c r="J86" s="7" t="str">
        <f aca="false">IF(E86="","",IF(C86="Masuk",E86-SUM(F86:I86),-E86))</f>
        <v/>
      </c>
    </row>
    <row r="87" customFormat="false" ht="15" hidden="false" customHeight="false" outlineLevel="0" collapsed="false">
      <c r="A87" s="4"/>
      <c r="B87" s="5"/>
      <c r="C87" s="5"/>
      <c r="D87" s="5"/>
      <c r="E87" s="6"/>
      <c r="F87" s="6"/>
      <c r="G87" s="6"/>
      <c r="H87" s="6"/>
      <c r="I87" s="6"/>
      <c r="J87" s="7" t="str">
        <f aca="false">IF(E87="","",IF(C87="Masuk",E87-SUM(F87:I87),-E87))</f>
        <v/>
      </c>
    </row>
    <row r="88" customFormat="false" ht="15" hidden="false" customHeight="false" outlineLevel="0" collapsed="false">
      <c r="A88" s="4"/>
      <c r="B88" s="5"/>
      <c r="C88" s="5"/>
      <c r="D88" s="5"/>
      <c r="E88" s="6"/>
      <c r="F88" s="6"/>
      <c r="G88" s="6"/>
      <c r="H88" s="6"/>
      <c r="I88" s="6"/>
      <c r="J88" s="7" t="str">
        <f aca="false">IF(E88="","",IF(C88="Masuk",E88-SUM(F88:I88),-E88))</f>
        <v/>
      </c>
    </row>
    <row r="89" customFormat="false" ht="15" hidden="false" customHeight="false" outlineLevel="0" collapsed="false">
      <c r="A89" s="4"/>
      <c r="B89" s="5"/>
      <c r="C89" s="5"/>
      <c r="D89" s="5"/>
      <c r="E89" s="6"/>
      <c r="F89" s="6"/>
      <c r="G89" s="6"/>
      <c r="H89" s="6"/>
      <c r="I89" s="6"/>
      <c r="J89" s="7" t="str">
        <f aca="false">IF(E89="","",IF(C89="Masuk",E89-SUM(F89:I89),-E89))</f>
        <v/>
      </c>
    </row>
    <row r="90" customFormat="false" ht="15" hidden="false" customHeight="false" outlineLevel="0" collapsed="false">
      <c r="A90" s="4"/>
      <c r="B90" s="5"/>
      <c r="C90" s="5"/>
      <c r="D90" s="5"/>
      <c r="E90" s="6"/>
      <c r="F90" s="6"/>
      <c r="G90" s="6"/>
      <c r="H90" s="6"/>
      <c r="I90" s="6"/>
      <c r="J90" s="7" t="str">
        <f aca="false">IF(E90="","",IF(C90="Masuk",E90-SUM(F90:I90),-E90))</f>
        <v/>
      </c>
    </row>
    <row r="91" customFormat="false" ht="15" hidden="false" customHeight="false" outlineLevel="0" collapsed="false">
      <c r="A91" s="4"/>
      <c r="B91" s="5"/>
      <c r="C91" s="5"/>
      <c r="D91" s="5"/>
      <c r="E91" s="6"/>
      <c r="F91" s="6"/>
      <c r="G91" s="6"/>
      <c r="H91" s="6"/>
      <c r="I91" s="6"/>
      <c r="J91" s="7" t="str">
        <f aca="false">IF(E91="","",IF(C91="Masuk",E91-SUM(F91:I91),-E91))</f>
        <v/>
      </c>
    </row>
    <row r="92" customFormat="false" ht="15" hidden="false" customHeight="false" outlineLevel="0" collapsed="false">
      <c r="A92" s="4"/>
      <c r="B92" s="5"/>
      <c r="C92" s="5"/>
      <c r="D92" s="5"/>
      <c r="E92" s="6"/>
      <c r="F92" s="6"/>
      <c r="G92" s="6"/>
      <c r="H92" s="6"/>
      <c r="I92" s="6"/>
      <c r="J92" s="7" t="str">
        <f aca="false">IF(E92="","",IF(C92="Masuk",E92-SUM(F92:I92),-E92))</f>
        <v/>
      </c>
    </row>
    <row r="93" customFormat="false" ht="15" hidden="false" customHeight="false" outlineLevel="0" collapsed="false">
      <c r="A93" s="4"/>
      <c r="B93" s="5"/>
      <c r="C93" s="5"/>
      <c r="D93" s="5"/>
      <c r="E93" s="6"/>
      <c r="F93" s="6"/>
      <c r="G93" s="6"/>
      <c r="H93" s="6"/>
      <c r="I93" s="6"/>
      <c r="J93" s="7" t="str">
        <f aca="false">IF(E93="","",IF(C93="Masuk",E93-SUM(F93:I93),-E93))</f>
        <v/>
      </c>
    </row>
    <row r="94" customFormat="false" ht="15" hidden="false" customHeight="false" outlineLevel="0" collapsed="false">
      <c r="A94" s="4"/>
      <c r="B94" s="5"/>
      <c r="C94" s="5"/>
      <c r="D94" s="5"/>
      <c r="E94" s="6"/>
      <c r="F94" s="6"/>
      <c r="G94" s="6"/>
      <c r="H94" s="6"/>
      <c r="I94" s="6"/>
      <c r="J94" s="7" t="str">
        <f aca="false">IF(E94="","",IF(C94="Masuk",E94-SUM(F94:I94),-E94))</f>
        <v/>
      </c>
    </row>
    <row r="95" customFormat="false" ht="15" hidden="false" customHeight="false" outlineLevel="0" collapsed="false">
      <c r="A95" s="4"/>
      <c r="B95" s="5"/>
      <c r="C95" s="5"/>
      <c r="D95" s="5"/>
      <c r="E95" s="6"/>
      <c r="F95" s="6"/>
      <c r="G95" s="6"/>
      <c r="H95" s="6"/>
      <c r="I95" s="6"/>
      <c r="J95" s="7" t="str">
        <f aca="false">IF(E95="","",IF(C95="Masuk",E95-SUM(F95:I95),-E95))</f>
        <v/>
      </c>
    </row>
    <row r="96" customFormat="false" ht="15" hidden="false" customHeight="false" outlineLevel="0" collapsed="false">
      <c r="A96" s="4"/>
      <c r="B96" s="5"/>
      <c r="C96" s="5"/>
      <c r="D96" s="5"/>
      <c r="E96" s="6"/>
      <c r="F96" s="6"/>
      <c r="G96" s="6"/>
      <c r="H96" s="6"/>
      <c r="I96" s="6"/>
      <c r="J96" s="7" t="str">
        <f aca="false">IF(E96="","",IF(C96="Masuk",E96-SUM(F96:I96),-E96))</f>
        <v/>
      </c>
    </row>
    <row r="97" customFormat="false" ht="15" hidden="false" customHeight="false" outlineLevel="0" collapsed="false">
      <c r="A97" s="4"/>
      <c r="B97" s="5"/>
      <c r="C97" s="5"/>
      <c r="D97" s="5"/>
      <c r="E97" s="6"/>
      <c r="F97" s="6"/>
      <c r="G97" s="6"/>
      <c r="H97" s="6"/>
      <c r="I97" s="6"/>
      <c r="J97" s="7" t="str">
        <f aca="false">IF(E97="","",IF(C97="Masuk",E97-SUM(F97:I97),-E97))</f>
        <v/>
      </c>
    </row>
    <row r="98" customFormat="false" ht="15" hidden="false" customHeight="false" outlineLevel="0" collapsed="false">
      <c r="A98" s="4"/>
      <c r="B98" s="5"/>
      <c r="C98" s="5"/>
      <c r="D98" s="5"/>
      <c r="E98" s="6"/>
      <c r="F98" s="6"/>
      <c r="G98" s="6"/>
      <c r="H98" s="6"/>
      <c r="I98" s="6"/>
      <c r="J98" s="7" t="str">
        <f aca="false">IF(E98="","",IF(C98="Masuk",E98-SUM(F98:I98),-E98))</f>
        <v/>
      </c>
    </row>
    <row r="99" customFormat="false" ht="15" hidden="false" customHeight="false" outlineLevel="0" collapsed="false">
      <c r="A99" s="4"/>
      <c r="B99" s="5"/>
      <c r="C99" s="5"/>
      <c r="D99" s="5"/>
      <c r="E99" s="6"/>
      <c r="F99" s="6"/>
      <c r="G99" s="6"/>
      <c r="H99" s="6"/>
      <c r="I99" s="6"/>
      <c r="J99" s="7" t="str">
        <f aca="false">IF(E99="","",IF(C99="Masuk",E99-SUM(F99:I99),-E99))</f>
        <v/>
      </c>
    </row>
    <row r="100" customFormat="false" ht="15" hidden="false" customHeight="false" outlineLevel="0" collapsed="false">
      <c r="A100" s="4"/>
      <c r="B100" s="5"/>
      <c r="C100" s="5"/>
      <c r="D100" s="5"/>
      <c r="E100" s="6"/>
      <c r="F100" s="6"/>
      <c r="G100" s="6"/>
      <c r="H100" s="6"/>
      <c r="I100" s="6"/>
      <c r="J100" s="7" t="str">
        <f aca="false">IF(E100="","",IF(C100="Masuk",E100-SUM(F100:I100),-E100))</f>
        <v/>
      </c>
    </row>
    <row r="101" customFormat="false" ht="15" hidden="false" customHeight="false" outlineLevel="0" collapsed="false">
      <c r="A101" s="4"/>
      <c r="B101" s="5"/>
      <c r="C101" s="5"/>
      <c r="D101" s="5"/>
      <c r="E101" s="6"/>
      <c r="F101" s="6"/>
      <c r="G101" s="6"/>
      <c r="H101" s="6"/>
      <c r="I101" s="6"/>
      <c r="J101" s="7" t="str">
        <f aca="false">IF(E101="","",IF(C101="Masuk",E101-SUM(F101:I101),-E101))</f>
        <v/>
      </c>
    </row>
    <row r="103" customFormat="false" ht="15" hidden="false" customHeight="false" outlineLevel="0" collapsed="false">
      <c r="A103" s="8" t="s">
        <v>40</v>
      </c>
    </row>
  </sheetData>
  <dataValidations count="2">
    <dataValidation allowBlank="true" errorStyle="stop" operator="between" showDropDown="false" showErrorMessage="false" showInputMessage="false" sqref="C2:C101" type="list">
      <formula1>"Masuk,Keluar"</formula1>
      <formula2>0</formula2>
    </dataValidation>
    <dataValidation allowBlank="true" errorStyle="stop" operator="between" showDropDown="false" showErrorMessage="false" showInputMessage="false" sqref="B2:B101" type="list">
      <formula1>"Shopee,Tokopedia,TikTok Shop,QRIS,Bank/Transfer,GoPay,OVO,DANA,Cash/Tunai,Lainnya"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</cols>
  <sheetData>
    <row r="1" customFormat="false" ht="27.75" hidden="false" customHeight="true" outlineLevel="0" collapsed="false">
      <c r="A1" s="9" t="s">
        <v>41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42</v>
      </c>
      <c r="B2" s="10"/>
      <c r="C2" s="10"/>
      <c r="D2" s="10"/>
      <c r="E2" s="10"/>
    </row>
    <row r="4" customFormat="false" ht="15" hidden="false" customHeight="false" outlineLevel="0" collapsed="false">
      <c r="A4" s="11" t="s">
        <v>43</v>
      </c>
      <c r="B4" s="11"/>
    </row>
    <row r="5" customFormat="false" ht="15" hidden="false" customHeight="false" outlineLevel="0" collapsed="false">
      <c r="A5" s="2" t="s">
        <v>44</v>
      </c>
      <c r="B5" s="12" t="n">
        <f aca="false">SUMIFS('Input Transaksi'!$E$2:$E$101,'Input Transaksi'!$C$2:$C$101,"Masuk")</f>
        <v>13400000</v>
      </c>
    </row>
    <row r="6" customFormat="false" ht="15" hidden="false" customHeight="false" outlineLevel="0" collapsed="false">
      <c r="A6" s="2" t="s">
        <v>45</v>
      </c>
      <c r="B6" s="13" t="n">
        <f aca="false">SUMIFS('Input Transaksi'!$F$2:$F$101,'Input Transaksi'!$C$2:$C$101,"Masuk")</f>
        <v>836500</v>
      </c>
    </row>
    <row r="7" customFormat="false" ht="15" hidden="false" customHeight="false" outlineLevel="0" collapsed="false">
      <c r="A7" s="2" t="s">
        <v>46</v>
      </c>
      <c r="B7" s="13" t="n">
        <f aca="false">SUMIFS('Input Transaksi'!$G$2:$G$101,'Input Transaksi'!$C$2:$C$101,"Masuk")</f>
        <v>330000</v>
      </c>
    </row>
    <row r="8" customFormat="false" ht="15" hidden="false" customHeight="false" outlineLevel="0" collapsed="false">
      <c r="A8" s="2" t="s">
        <v>47</v>
      </c>
      <c r="B8" s="13" t="n">
        <f aca="false">SUMIFS('Input Transaksi'!$H$2:$H$101,'Input Transaksi'!$C$2:$C$101,"Masuk")</f>
        <v>620000</v>
      </c>
    </row>
    <row r="9" customFormat="false" ht="15" hidden="false" customHeight="false" outlineLevel="0" collapsed="false">
      <c r="A9" s="2" t="s">
        <v>48</v>
      </c>
      <c r="B9" s="13" t="n">
        <f aca="false">SUMIFS('Input Transaksi'!$I$2:$I$101,'Input Transaksi'!$C$2:$C$101,"Masuk")</f>
        <v>0</v>
      </c>
    </row>
    <row r="10" customFormat="false" ht="15" hidden="false" customHeight="false" outlineLevel="0" collapsed="false">
      <c r="A10" s="14" t="s">
        <v>49</v>
      </c>
      <c r="B10" s="15" t="n">
        <f aca="false">SUM(B6:B9)</f>
        <v>1786500</v>
      </c>
    </row>
    <row r="11" customFormat="false" ht="15" hidden="false" customHeight="false" outlineLevel="0" collapsed="false">
      <c r="A11" s="16" t="s">
        <v>50</v>
      </c>
      <c r="B11" s="17" t="n">
        <f aca="false">B5-B10</f>
        <v>11613500</v>
      </c>
    </row>
    <row r="12" customFormat="false" ht="15" hidden="false" customHeight="false" outlineLevel="0" collapsed="false">
      <c r="A12" s="2" t="s">
        <v>51</v>
      </c>
      <c r="B12" s="13" t="n">
        <f aca="false">SUMIFS('Input Transaksi'!$E$2:$E$101,'Input Transaksi'!$C$2:$C$101,"Keluar")</f>
        <v>5750000</v>
      </c>
    </row>
    <row r="13" customFormat="false" ht="15" hidden="false" customHeight="false" outlineLevel="0" collapsed="false">
      <c r="A13" s="18" t="s">
        <v>52</v>
      </c>
      <c r="B13" s="19" t="n">
        <f aca="false">B11-B12</f>
        <v>5863500</v>
      </c>
    </row>
    <row r="14" customFormat="false" ht="15" hidden="false" customHeight="false" outlineLevel="0" collapsed="false">
      <c r="A14" s="2" t="s">
        <v>53</v>
      </c>
      <c r="B14" s="20" t="n">
        <f aca="false">B5-B12</f>
        <v>7650000</v>
      </c>
    </row>
    <row r="15" customFormat="false" ht="15" hidden="false" customHeight="false" outlineLevel="0" collapsed="false">
      <c r="A15" s="16" t="s">
        <v>54</v>
      </c>
      <c r="B15" s="17" t="n">
        <f aca="false">B14-B13</f>
        <v>1786500</v>
      </c>
    </row>
    <row r="17" customFormat="false" ht="15" hidden="false" customHeight="false" outlineLevel="0" collapsed="false">
      <c r="A17" s="18" t="s">
        <v>55</v>
      </c>
      <c r="B17" s="21" t="n">
        <f aca="false">IF(B5=0,0,B13/B5)</f>
        <v>0.437574626865672</v>
      </c>
    </row>
    <row r="18" customFormat="false" ht="15" hidden="false" customHeight="false" outlineLevel="0" collapsed="false">
      <c r="A18" s="2" t="s">
        <v>56</v>
      </c>
      <c r="B18" s="22" t="n">
        <f aca="false">IF(B5=0,0,B14/B5)</f>
        <v>0.57089552238806</v>
      </c>
    </row>
    <row r="19" customFormat="false" ht="15" hidden="false" customHeight="false" outlineLevel="0" collapsed="false">
      <c r="A19" s="16" t="s">
        <v>57</v>
      </c>
      <c r="B19" s="23" t="n">
        <f aca="false">B18-B17</f>
        <v>0.133320895522388</v>
      </c>
    </row>
    <row r="21" customFormat="false" ht="15" hidden="false" customHeight="false" outlineLevel="0" collapsed="false">
      <c r="A21" s="11" t="s">
        <v>58</v>
      </c>
      <c r="B21" s="11"/>
      <c r="C21" s="11"/>
      <c r="D21" s="11"/>
      <c r="E21" s="11"/>
    </row>
    <row r="22" customFormat="false" ht="15" hidden="false" customHeight="false" outlineLevel="0" collapsed="false">
      <c r="A22" s="24" t="s">
        <v>17</v>
      </c>
      <c r="B22" s="24" t="s">
        <v>59</v>
      </c>
      <c r="C22" s="24" t="s">
        <v>60</v>
      </c>
      <c r="D22" s="24" t="s">
        <v>61</v>
      </c>
      <c r="E22" s="24" t="s">
        <v>62</v>
      </c>
    </row>
    <row r="23" customFormat="false" ht="15" hidden="false" customHeight="false" outlineLevel="0" collapsed="false">
      <c r="A23" s="25" t="s">
        <v>26</v>
      </c>
      <c r="B23" s="26" t="n">
        <f aca="false">SUMIFS('Input Transaksi'!$E$2:$E$101,'Input Transaksi'!$C$2:$C$101,"Masuk",'Input Transaksi'!$B$2:$B$101,A23)</f>
        <v>5000000</v>
      </c>
      <c r="C23" s="7" t="n">
        <f aca="false">B23-D23</f>
        <v>700000</v>
      </c>
      <c r="D23" s="26" t="n">
        <f aca="false">SUMIFS('Input Transaksi'!$J$2:$J$101,'Input Transaksi'!$C$2:$C$101,"Masuk",'Input Transaksi'!$B$2:$B$101,A23)</f>
        <v>4300000</v>
      </c>
      <c r="E23" s="27" t="n">
        <f aca="false">IF(B23=0,0,C23/B23)</f>
        <v>0.14</v>
      </c>
    </row>
    <row r="24" customFormat="false" ht="15" hidden="false" customHeight="false" outlineLevel="0" collapsed="false">
      <c r="A24" s="25" t="s">
        <v>29</v>
      </c>
      <c r="B24" s="26" t="n">
        <f aca="false">SUMIFS('Input Transaksi'!$E$2:$E$101,'Input Transaksi'!$C$2:$C$101,"Masuk",'Input Transaksi'!$B$2:$B$101,A24)</f>
        <v>3200000</v>
      </c>
      <c r="C24" s="7" t="n">
        <f aca="false">B24-D24</f>
        <v>444000</v>
      </c>
      <c r="D24" s="26" t="n">
        <f aca="false">SUMIFS('Input Transaksi'!$J$2:$J$101,'Input Transaksi'!$C$2:$C$101,"Masuk",'Input Transaksi'!$B$2:$B$101,A24)</f>
        <v>2756000</v>
      </c>
      <c r="E24" s="27" t="n">
        <f aca="false">IF(B24=0,0,C24/B24)</f>
        <v>0.13875</v>
      </c>
    </row>
    <row r="25" customFormat="false" ht="15" hidden="false" customHeight="false" outlineLevel="0" collapsed="false">
      <c r="A25" s="25" t="s">
        <v>30</v>
      </c>
      <c r="B25" s="26" t="n">
        <f aca="false">SUMIFS('Input Transaksi'!$E$2:$E$101,'Input Transaksi'!$C$2:$C$101,"Masuk",'Input Transaksi'!$B$2:$B$101,A25)</f>
        <v>2800000</v>
      </c>
      <c r="C25" s="7" t="n">
        <f aca="false">B25-D25</f>
        <v>632000</v>
      </c>
      <c r="D25" s="26" t="n">
        <f aca="false">SUMIFS('Input Transaksi'!$J$2:$J$101,'Input Transaksi'!$C$2:$C$101,"Masuk",'Input Transaksi'!$B$2:$B$101,A25)</f>
        <v>2168000</v>
      </c>
      <c r="E25" s="27" t="n">
        <f aca="false">IF(B25=0,0,C25/B25)</f>
        <v>0.225714285714286</v>
      </c>
    </row>
    <row r="26" customFormat="false" ht="15" hidden="false" customHeight="false" outlineLevel="0" collapsed="false">
      <c r="A26" s="25" t="s">
        <v>31</v>
      </c>
      <c r="B26" s="26" t="n">
        <f aca="false">SUMIFS('Input Transaksi'!$E$2:$E$101,'Input Transaksi'!$C$2:$C$101,"Masuk",'Input Transaksi'!$B$2:$B$101,A26)</f>
        <v>1500000</v>
      </c>
      <c r="C26" s="7" t="n">
        <f aca="false">B26-D26</f>
        <v>10500</v>
      </c>
      <c r="D26" s="26" t="n">
        <f aca="false">SUMIFS('Input Transaksi'!$J$2:$J$101,'Input Transaksi'!$C$2:$C$101,"Masuk",'Input Transaksi'!$B$2:$B$101,A26)</f>
        <v>1489500</v>
      </c>
      <c r="E26" s="27" t="n">
        <f aca="false">IF(B26=0,0,C26/B26)</f>
        <v>0.007</v>
      </c>
    </row>
    <row r="27" customFormat="false" ht="15" hidden="false" customHeight="false" outlineLevel="0" collapsed="false">
      <c r="A27" s="25" t="s">
        <v>35</v>
      </c>
      <c r="B27" s="26" t="n">
        <f aca="false">SUMIFS('Input Transaksi'!$E$2:$E$101,'Input Transaksi'!$C$2:$C$101,"Masuk",'Input Transaksi'!$B$2:$B$101,A27)</f>
        <v>0</v>
      </c>
      <c r="C27" s="7" t="n">
        <f aca="false">B27-D27</f>
        <v>0</v>
      </c>
      <c r="D27" s="26" t="n">
        <f aca="false">SUMIFS('Input Transaksi'!$J$2:$J$101,'Input Transaksi'!$C$2:$C$101,"Masuk",'Input Transaksi'!$B$2:$B$101,A27)</f>
        <v>0</v>
      </c>
      <c r="E27" s="27" t="n">
        <f aca="false">IF(B27=0,0,C27/B27)</f>
        <v>0</v>
      </c>
    </row>
    <row r="28" customFormat="false" ht="15" hidden="false" customHeight="false" outlineLevel="0" collapsed="false">
      <c r="A28" s="25" t="s">
        <v>63</v>
      </c>
      <c r="B28" s="26" t="n">
        <f aca="false">SUMIFS('Input Transaksi'!$E$2:$E$101,'Input Transaksi'!$C$2:$C$101,"Masuk",'Input Transaksi'!$B$2:$B$101,A28)</f>
        <v>0</v>
      </c>
      <c r="C28" s="7" t="n">
        <f aca="false">B28-D28</f>
        <v>0</v>
      </c>
      <c r="D28" s="26" t="n">
        <f aca="false">SUMIFS('Input Transaksi'!$J$2:$J$101,'Input Transaksi'!$C$2:$C$101,"Masuk",'Input Transaksi'!$B$2:$B$101,A28)</f>
        <v>0</v>
      </c>
      <c r="E28" s="27" t="n">
        <f aca="false">IF(B28=0,0,C28/B28)</f>
        <v>0</v>
      </c>
    </row>
    <row r="29" customFormat="false" ht="15" hidden="false" customHeight="false" outlineLevel="0" collapsed="false">
      <c r="A29" s="25" t="s">
        <v>64</v>
      </c>
      <c r="B29" s="26" t="n">
        <f aca="false">SUMIFS('Input Transaksi'!$E$2:$E$101,'Input Transaksi'!$C$2:$C$101,"Masuk",'Input Transaksi'!$B$2:$B$101,A29)</f>
        <v>0</v>
      </c>
      <c r="C29" s="7" t="n">
        <f aca="false">B29-D29</f>
        <v>0</v>
      </c>
      <c r="D29" s="26" t="n">
        <f aca="false">SUMIFS('Input Transaksi'!$J$2:$J$101,'Input Transaksi'!$C$2:$C$101,"Masuk",'Input Transaksi'!$B$2:$B$101,A29)</f>
        <v>0</v>
      </c>
      <c r="E29" s="27" t="n">
        <f aca="false">IF(B29=0,0,C29/B29)</f>
        <v>0</v>
      </c>
    </row>
    <row r="30" customFormat="false" ht="15" hidden="false" customHeight="false" outlineLevel="0" collapsed="false">
      <c r="A30" s="25" t="s">
        <v>65</v>
      </c>
      <c r="B30" s="26" t="n">
        <f aca="false">SUMIFS('Input Transaksi'!$E$2:$E$101,'Input Transaksi'!$C$2:$C$101,"Masuk",'Input Transaksi'!$B$2:$B$101,A30)</f>
        <v>0</v>
      </c>
      <c r="C30" s="7" t="n">
        <f aca="false">B30-D30</f>
        <v>0</v>
      </c>
      <c r="D30" s="26" t="n">
        <f aca="false">SUMIFS('Input Transaksi'!$J$2:$J$101,'Input Transaksi'!$C$2:$C$101,"Masuk",'Input Transaksi'!$B$2:$B$101,A30)</f>
        <v>0</v>
      </c>
      <c r="E30" s="27" t="n">
        <f aca="false">IF(B30=0,0,C30/B30)</f>
        <v>0</v>
      </c>
    </row>
    <row r="31" customFormat="false" ht="15" hidden="false" customHeight="false" outlineLevel="0" collapsed="false">
      <c r="A31" s="25" t="s">
        <v>33</v>
      </c>
      <c r="B31" s="26" t="n">
        <f aca="false">SUMIFS('Input Transaksi'!$E$2:$E$101,'Input Transaksi'!$C$2:$C$101,"Masuk",'Input Transaksi'!$B$2:$B$101,A31)</f>
        <v>900000</v>
      </c>
      <c r="C31" s="7" t="n">
        <f aca="false">B31-D31</f>
        <v>0</v>
      </c>
      <c r="D31" s="26" t="n">
        <f aca="false">SUMIFS('Input Transaksi'!$J$2:$J$101,'Input Transaksi'!$C$2:$C$101,"Masuk",'Input Transaksi'!$B$2:$B$101,A31)</f>
        <v>900000</v>
      </c>
      <c r="E31" s="27" t="n">
        <f aca="false">IF(B31=0,0,C31/B31)</f>
        <v>0</v>
      </c>
    </row>
    <row r="32" customFormat="false" ht="15" hidden="false" customHeight="false" outlineLevel="0" collapsed="false">
      <c r="A32" s="25" t="s">
        <v>66</v>
      </c>
      <c r="B32" s="26" t="n">
        <f aca="false">SUMIFS('Input Transaksi'!$E$2:$E$101,'Input Transaksi'!$C$2:$C$101,"Masuk",'Input Transaksi'!$B$2:$B$101,A32)</f>
        <v>0</v>
      </c>
      <c r="C32" s="7" t="n">
        <f aca="false">B32-D32</f>
        <v>0</v>
      </c>
      <c r="D32" s="26" t="n">
        <f aca="false">SUMIFS('Input Transaksi'!$J$2:$J$101,'Input Transaksi'!$C$2:$C$101,"Masuk",'Input Transaksi'!$B$2:$B$101,A32)</f>
        <v>0</v>
      </c>
      <c r="E32" s="27" t="n">
        <f aca="false">IF(B32=0,0,C32/B32)</f>
        <v>0</v>
      </c>
    </row>
    <row r="33" customFormat="false" ht="15" hidden="false" customHeight="false" outlineLevel="0" collapsed="false">
      <c r="A33" s="28" t="s">
        <v>67</v>
      </c>
      <c r="B33" s="29" t="n">
        <f aca="false">SUM(B23:B32)</f>
        <v>13400000</v>
      </c>
      <c r="C33" s="29" t="n">
        <f aca="false">SUM(C23:C32)</f>
        <v>1786500</v>
      </c>
      <c r="D33" s="29" t="n">
        <f aca="false">SUM(D23:D32)</f>
        <v>11613500</v>
      </c>
      <c r="E33" s="30" t="n">
        <f aca="false">IF(B33=0,0,C33/B33)</f>
        <v>0.133320895522388</v>
      </c>
    </row>
    <row r="35" customFormat="false" ht="15" hidden="false" customHeight="false" outlineLevel="0" collapsed="false">
      <c r="A35" s="31" t="s">
        <v>68</v>
      </c>
    </row>
    <row r="36" customFormat="false" ht="15" hidden="false" customHeight="false" outlineLevel="0" collapsed="false">
      <c r="A36" s="32" t="str">
        <f aca="false">"Bulan ini omzet kotor Rp "&amp;TEXT(B5,"#,##0")&amp;", tapi yang benar-benar masuk rekening Rp "&amp;TEXT(B11,"#,##0")&amp;". Sekitar Rp "&amp;TEXT(B10,"#,##0")&amp;" kepotong biaya channel (admin, ongkir, iklan). Margin asli "&amp;TEXT(B17,"0.0%")&amp;", bukan "&amp;TEXT(B18,"0.0%")&amp;" seperti yang dikira."</f>
        <v>Bulan ini omzet kotor Rp 13,400,000, tapi yang benar-benar masuk rekening Rp 11,613,500. Sekitar Rp 1,786,500 kepotong biaya channel (admin, ongkir, iklan). Margin asli 43.8%, bukan 57.1% seperti yang dikira.</v>
      </c>
      <c r="B36" s="32"/>
      <c r="C36" s="32"/>
      <c r="D36" s="32"/>
      <c r="E36" s="32"/>
    </row>
    <row r="37" customFormat="false" ht="15" hidden="false" customHeight="false" outlineLevel="0" collapsed="false">
      <c r="A37" s="32"/>
      <c r="B37" s="32"/>
      <c r="C37" s="32"/>
      <c r="D37" s="32"/>
      <c r="E37" s="32"/>
    </row>
    <row r="38" customFormat="false" ht="15" hidden="false" customHeight="false" outlineLevel="0" collapsed="false">
      <c r="A38" s="32"/>
      <c r="B38" s="32"/>
      <c r="C38" s="32"/>
      <c r="D38" s="32"/>
      <c r="E38" s="32"/>
    </row>
  </sheetData>
  <mergeCells count="5">
    <mergeCell ref="A1:E1"/>
    <mergeCell ref="A2:E2"/>
    <mergeCell ref="A4:B4"/>
    <mergeCell ref="A21:E21"/>
    <mergeCell ref="A36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2026-06-02T11:46:26Z</dcterms:created>
  <dc:creator>openpyxl</dc:creator>
  <dc:description/>
  <dc:language>en-US</dc:language>
  <cp:lastModifiedBy/>
  <dcterms:modified xsi:type="dcterms:W3CDTF">2026-06-02T11:46:26Z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